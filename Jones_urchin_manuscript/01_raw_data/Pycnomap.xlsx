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alecjones/Documents/GitHub/Alec_Jones_Urchin_manuscript/Jones_urchin_manuscript/01_raw_data/"/>
    </mc:Choice>
  </mc:AlternateContent>
  <xr:revisionPtr revIDLastSave="0" documentId="13_ncr:1_{604A65BC-3DC5-0946-A987-BDAFA17407ED}" xr6:coauthVersionLast="47" xr6:coauthVersionMax="47" xr10:uidLastSave="{00000000-0000-0000-0000-000000000000}"/>
  <bookViews>
    <workbookView xWindow="1020" yWindow="500" windowWidth="26340" windowHeight="13700" activeTab="2" xr2:uid="{00000000-000D-0000-FFFF-FFFF00000000}"/>
  </bookViews>
  <sheets>
    <sheet name="Pie chart" sheetId="1" r:id="rId1"/>
    <sheet name="Kelp presence" sheetId="2" r:id="rId2"/>
    <sheet name="Absent all yea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11" i="3"/>
  <c r="I10" i="3"/>
  <c r="I9" i="3"/>
  <c r="I8" i="3"/>
  <c r="I7" i="3"/>
  <c r="I6" i="3"/>
  <c r="I5" i="3"/>
  <c r="I4" i="3"/>
  <c r="I3" i="3"/>
  <c r="I2" i="3"/>
  <c r="I8" i="2"/>
  <c r="I7" i="2"/>
  <c r="I6" i="2"/>
  <c r="I5" i="2"/>
  <c r="I4" i="2"/>
  <c r="I3" i="2"/>
  <c r="I2" i="2"/>
  <c r="I12" i="1"/>
  <c r="I15" i="1"/>
  <c r="I10" i="1"/>
  <c r="I18" i="1"/>
  <c r="I14" i="1"/>
  <c r="I11" i="1"/>
  <c r="I5" i="1"/>
  <c r="I4" i="1"/>
  <c r="I6" i="1"/>
  <c r="I16" i="1"/>
  <c r="I8" i="1"/>
  <c r="I7" i="1"/>
  <c r="I9" i="1"/>
  <c r="I17" i="1"/>
  <c r="I13" i="1"/>
  <c r="I2" i="1"/>
</calcChain>
</file>

<file path=xl/sharedStrings.xml><?xml version="1.0" encoding="utf-8"?>
<sst xmlns="http://schemas.openxmlformats.org/spreadsheetml/2006/main" count="121" uniqueCount="66">
  <si>
    <t>site_code</t>
  </si>
  <si>
    <t>site_name</t>
  </si>
  <si>
    <t>lat</t>
  </si>
  <si>
    <t>long</t>
  </si>
  <si>
    <t>total</t>
  </si>
  <si>
    <t>BMSC23</t>
  </si>
  <si>
    <t>Aguilar Point</t>
  </si>
  <si>
    <t>BMSC8</t>
  </si>
  <si>
    <t>Baeria Rocks North Island Northside</t>
  </si>
  <si>
    <t>BMSC6</t>
  </si>
  <si>
    <t>Baeria Rocks South Island</t>
  </si>
  <si>
    <t>BMSC22</t>
  </si>
  <si>
    <t>Dixon Inside</t>
  </si>
  <si>
    <t>absent</t>
  </si>
  <si>
    <t>BMSC21</t>
  </si>
  <si>
    <t>Dixon SW</t>
  </si>
  <si>
    <t>BMSC1</t>
  </si>
  <si>
    <t>Dodger Channel</t>
  </si>
  <si>
    <t>BMSC9</t>
  </si>
  <si>
    <t>Eagle Bay</t>
  </si>
  <si>
    <t>BMSC20</t>
  </si>
  <si>
    <t>Ed King East</t>
  </si>
  <si>
    <t>BMSC19</t>
  </si>
  <si>
    <t>Ed King SW Pyramid</t>
  </si>
  <si>
    <t>BMSC14</t>
  </si>
  <si>
    <t>Effingham Archipelago</t>
  </si>
  <si>
    <t>BMSC13</t>
  </si>
  <si>
    <t>Effingham West</t>
  </si>
  <si>
    <t>BMSC18</t>
  </si>
  <si>
    <t>Eussen Rock</t>
  </si>
  <si>
    <t>BMSC16</t>
  </si>
  <si>
    <t>Faber Islets</t>
  </si>
  <si>
    <t>BMSC25</t>
  </si>
  <si>
    <t>Goby Town</t>
  </si>
  <si>
    <t>BMSC26</t>
  </si>
  <si>
    <t>Hosie South</t>
  </si>
  <si>
    <t>BMSC4</t>
  </si>
  <si>
    <t>Kii xin</t>
  </si>
  <si>
    <t>BMSC2</t>
  </si>
  <si>
    <t>Kirby</t>
  </si>
  <si>
    <t>BMSC3</t>
  </si>
  <si>
    <t>Ohiat</t>
  </si>
  <si>
    <t>BMSC15</t>
  </si>
  <si>
    <t>Raymond Kelp Rock</t>
  </si>
  <si>
    <t>Ross Islets Slug Island</t>
  </si>
  <si>
    <t>BMSC27</t>
  </si>
  <si>
    <t>San Jose North Island</t>
  </si>
  <si>
    <t>BMSC24</t>
  </si>
  <si>
    <t>Swiss Boy</t>
  </si>
  <si>
    <t>BMSC5</t>
  </si>
  <si>
    <t>Taylor Rock</t>
  </si>
  <si>
    <t>BMSC12</t>
  </si>
  <si>
    <t>Wizard Island North</t>
  </si>
  <si>
    <t>BMSC11</t>
  </si>
  <si>
    <t>Wizard Island South</t>
  </si>
  <si>
    <t>BMSC17</t>
  </si>
  <si>
    <t>Wouwer Channel</t>
  </si>
  <si>
    <t>BMSC7</t>
  </si>
  <si>
    <t>Baeria Rocks North Island Southside</t>
  </si>
  <si>
    <t>understory</t>
  </si>
  <si>
    <t>kelp.pa</t>
  </si>
  <si>
    <t>forest</t>
  </si>
  <si>
    <t>prior forest</t>
  </si>
  <si>
    <t>low</t>
  </si>
  <si>
    <t>prior understory</t>
  </si>
  <si>
    <t>years_surveyed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</si>
</sst>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J1" sqref="J1"/>
    </sheetView>
  </sheetViews>
  <sheetFormatPr baseColWidth="10" defaultColWidth="8.83203125" defaultRowHeight="15" x14ac:dyDescent="0.2"/>
  <cols>
    <col min="2" max="2" width="30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>
        <v>2021</v>
      </c>
      <c r="F1">
        <v>2022</v>
      </c>
      <c r="G1">
        <v>2023</v>
      </c>
      <c r="H1">
        <v>2024</v>
      </c>
      <c r="I1" t="s">
        <v>4</v>
      </c>
      <c r="J1" t="s">
        <v>60</v>
      </c>
    </row>
    <row r="2" spans="1:10" x14ac:dyDescent="0.2">
      <c r="A2" s="1" t="s">
        <v>5</v>
      </c>
      <c r="B2" s="1" t="s">
        <v>6</v>
      </c>
      <c r="C2" s="1">
        <v>48.84</v>
      </c>
      <c r="D2" s="1">
        <v>-125.14</v>
      </c>
      <c r="F2">
        <v>0</v>
      </c>
      <c r="G2" s="1">
        <v>1</v>
      </c>
      <c r="H2" s="1">
        <v>0</v>
      </c>
      <c r="I2">
        <f t="shared" ref="I2:I18" si="0">SUM(E2:H2)</f>
        <v>1</v>
      </c>
      <c r="J2" t="s">
        <v>13</v>
      </c>
    </row>
    <row r="3" spans="1:10" x14ac:dyDescent="0.2">
      <c r="A3" s="2" t="s">
        <v>57</v>
      </c>
      <c r="B3" s="2" t="s">
        <v>58</v>
      </c>
      <c r="C3" s="2">
        <v>48.95</v>
      </c>
      <c r="D3" s="2">
        <v>-125.15</v>
      </c>
      <c r="E3">
        <v>1</v>
      </c>
      <c r="I3">
        <f t="shared" si="0"/>
        <v>1</v>
      </c>
      <c r="J3" t="s">
        <v>13</v>
      </c>
    </row>
    <row r="4" spans="1:10" x14ac:dyDescent="0.2">
      <c r="A4" s="2" t="s">
        <v>9</v>
      </c>
      <c r="B4" s="2" t="s">
        <v>10</v>
      </c>
      <c r="C4" s="2">
        <v>48.95</v>
      </c>
      <c r="D4" s="2">
        <v>-125.16</v>
      </c>
      <c r="E4">
        <v>0</v>
      </c>
      <c r="F4">
        <v>0</v>
      </c>
      <c r="G4">
        <v>1</v>
      </c>
      <c r="H4">
        <v>0</v>
      </c>
      <c r="I4">
        <f t="shared" si="0"/>
        <v>1</v>
      </c>
      <c r="J4" t="s">
        <v>13</v>
      </c>
    </row>
    <row r="5" spans="1:10" x14ac:dyDescent="0.2">
      <c r="A5" s="2" t="s">
        <v>55</v>
      </c>
      <c r="B5" s="2" t="s">
        <v>56</v>
      </c>
      <c r="C5" s="2">
        <v>48.865482329999999</v>
      </c>
      <c r="D5" s="2">
        <v>-125.3614807</v>
      </c>
      <c r="E5">
        <v>0</v>
      </c>
      <c r="F5">
        <v>0</v>
      </c>
      <c r="H5">
        <v>1</v>
      </c>
      <c r="I5">
        <f t="shared" si="0"/>
        <v>1</v>
      </c>
      <c r="J5" t="s">
        <v>64</v>
      </c>
    </row>
    <row r="6" spans="1:10" x14ac:dyDescent="0.2">
      <c r="A6" s="2" t="s">
        <v>14</v>
      </c>
      <c r="B6" s="2" t="s">
        <v>15</v>
      </c>
      <c r="C6" s="5">
        <v>48.852050779999999</v>
      </c>
      <c r="D6" s="5">
        <v>-125.1235657</v>
      </c>
      <c r="E6">
        <v>0</v>
      </c>
      <c r="F6">
        <v>1</v>
      </c>
      <c r="G6">
        <v>1</v>
      </c>
      <c r="H6">
        <v>0</v>
      </c>
      <c r="I6">
        <f t="shared" si="0"/>
        <v>2</v>
      </c>
      <c r="J6" t="s">
        <v>13</v>
      </c>
    </row>
    <row r="7" spans="1:10" x14ac:dyDescent="0.2">
      <c r="A7" s="2" t="s">
        <v>22</v>
      </c>
      <c r="B7" s="2" t="s">
        <v>23</v>
      </c>
      <c r="C7" s="2">
        <v>48.83</v>
      </c>
      <c r="D7" s="2">
        <v>-125.22</v>
      </c>
      <c r="E7">
        <v>2</v>
      </c>
      <c r="F7">
        <v>0</v>
      </c>
      <c r="G7">
        <v>0</v>
      </c>
      <c r="H7">
        <v>0</v>
      </c>
      <c r="I7">
        <f t="shared" si="0"/>
        <v>2</v>
      </c>
      <c r="J7" t="s">
        <v>13</v>
      </c>
    </row>
    <row r="8" spans="1:10" x14ac:dyDescent="0.2">
      <c r="A8" s="2" t="s">
        <v>20</v>
      </c>
      <c r="B8" s="2" t="s">
        <v>21</v>
      </c>
      <c r="C8" s="2">
        <v>48.84</v>
      </c>
      <c r="D8" s="2">
        <v>-125.21</v>
      </c>
      <c r="E8">
        <v>0</v>
      </c>
      <c r="F8">
        <v>0</v>
      </c>
      <c r="G8">
        <v>2</v>
      </c>
      <c r="H8">
        <v>1</v>
      </c>
      <c r="I8">
        <f t="shared" si="0"/>
        <v>3</v>
      </c>
      <c r="J8" t="s">
        <v>13</v>
      </c>
    </row>
    <row r="9" spans="1:10" x14ac:dyDescent="0.2">
      <c r="A9" s="2" t="s">
        <v>26</v>
      </c>
      <c r="B9" s="2" t="s">
        <v>27</v>
      </c>
      <c r="C9" s="2">
        <v>48.865032200000002</v>
      </c>
      <c r="D9" s="2">
        <v>-125.3137207</v>
      </c>
      <c r="E9">
        <v>0</v>
      </c>
      <c r="F9">
        <v>0</v>
      </c>
      <c r="H9">
        <v>3</v>
      </c>
      <c r="I9">
        <f t="shared" si="0"/>
        <v>3</v>
      </c>
      <c r="J9" t="s">
        <v>13</v>
      </c>
    </row>
    <row r="10" spans="1:10" x14ac:dyDescent="0.2">
      <c r="A10" s="2" t="s">
        <v>45</v>
      </c>
      <c r="B10" s="2" t="s">
        <v>46</v>
      </c>
      <c r="C10" s="2">
        <v>48.9</v>
      </c>
      <c r="D10" s="2">
        <v>-125.06</v>
      </c>
      <c r="G10">
        <v>3</v>
      </c>
      <c r="H10">
        <v>0</v>
      </c>
      <c r="I10">
        <f t="shared" si="0"/>
        <v>3</v>
      </c>
      <c r="J10" t="s">
        <v>13</v>
      </c>
    </row>
    <row r="11" spans="1:10" x14ac:dyDescent="0.2">
      <c r="A11" s="2" t="s">
        <v>53</v>
      </c>
      <c r="B11" s="2" t="s">
        <v>54</v>
      </c>
      <c r="C11" s="2">
        <v>48.86</v>
      </c>
      <c r="D11" s="2">
        <v>-125.16</v>
      </c>
      <c r="E11">
        <v>0</v>
      </c>
      <c r="F11">
        <v>0</v>
      </c>
      <c r="G11">
        <v>3</v>
      </c>
      <c r="H11">
        <v>0</v>
      </c>
      <c r="I11">
        <f t="shared" si="0"/>
        <v>3</v>
      </c>
      <c r="J11" t="s">
        <v>13</v>
      </c>
    </row>
    <row r="12" spans="1:10" x14ac:dyDescent="0.2">
      <c r="A12" s="2" t="s">
        <v>42</v>
      </c>
      <c r="B12" s="2" t="s">
        <v>43</v>
      </c>
      <c r="C12" s="2">
        <v>48.88</v>
      </c>
      <c r="D12" s="2">
        <v>-125.31</v>
      </c>
      <c r="E12">
        <v>1</v>
      </c>
      <c r="F12">
        <v>0</v>
      </c>
      <c r="H12">
        <v>4</v>
      </c>
      <c r="I12">
        <f t="shared" si="0"/>
        <v>5</v>
      </c>
      <c r="J12" t="s">
        <v>61</v>
      </c>
    </row>
    <row r="13" spans="1:10" x14ac:dyDescent="0.2">
      <c r="A13" s="2" t="s">
        <v>38</v>
      </c>
      <c r="B13" s="2" t="s">
        <v>39</v>
      </c>
      <c r="C13" s="2">
        <v>48.85</v>
      </c>
      <c r="D13" s="2">
        <v>-125.2</v>
      </c>
      <c r="E13">
        <v>0</v>
      </c>
      <c r="G13">
        <v>4</v>
      </c>
      <c r="H13">
        <v>1</v>
      </c>
      <c r="I13">
        <f t="shared" si="0"/>
        <v>5</v>
      </c>
      <c r="J13" t="s">
        <v>13</v>
      </c>
    </row>
    <row r="14" spans="1:10" x14ac:dyDescent="0.2">
      <c r="A14" s="2" t="s">
        <v>51</v>
      </c>
      <c r="B14" s="2" t="s">
        <v>52</v>
      </c>
      <c r="C14" s="2">
        <v>48.858283999999998</v>
      </c>
      <c r="D14" s="2">
        <v>-125.1609192</v>
      </c>
      <c r="E14">
        <v>0</v>
      </c>
      <c r="F14">
        <v>3</v>
      </c>
      <c r="G14">
        <v>6</v>
      </c>
      <c r="H14">
        <v>3</v>
      </c>
      <c r="I14">
        <f t="shared" si="0"/>
        <v>12</v>
      </c>
      <c r="J14" t="s">
        <v>13</v>
      </c>
    </row>
    <row r="15" spans="1:10" x14ac:dyDescent="0.2">
      <c r="A15" s="2" t="s">
        <v>16</v>
      </c>
      <c r="B15" s="2" t="s">
        <v>44</v>
      </c>
      <c r="C15" s="2">
        <v>48.87</v>
      </c>
      <c r="D15" s="2">
        <v>-125.16</v>
      </c>
      <c r="E15">
        <v>0</v>
      </c>
      <c r="F15">
        <v>0</v>
      </c>
      <c r="G15">
        <v>21</v>
      </c>
      <c r="H15">
        <v>3</v>
      </c>
      <c r="I15">
        <f t="shared" si="0"/>
        <v>24</v>
      </c>
      <c r="J15" t="s">
        <v>62</v>
      </c>
    </row>
    <row r="16" spans="1:10" x14ac:dyDescent="0.2">
      <c r="A16" s="2" t="s">
        <v>16</v>
      </c>
      <c r="B16" s="2" t="s">
        <v>17</v>
      </c>
      <c r="C16" s="2">
        <v>48.83</v>
      </c>
      <c r="D16" s="2">
        <v>-125.2</v>
      </c>
      <c r="E16">
        <v>9</v>
      </c>
      <c r="F16">
        <v>2</v>
      </c>
      <c r="G16">
        <v>18</v>
      </c>
      <c r="H16">
        <v>2</v>
      </c>
      <c r="I16">
        <f t="shared" si="0"/>
        <v>31</v>
      </c>
      <c r="J16" t="s">
        <v>59</v>
      </c>
    </row>
    <row r="17" spans="1:10" x14ac:dyDescent="0.2">
      <c r="A17" t="s">
        <v>34</v>
      </c>
      <c r="B17" s="2" t="s">
        <v>35</v>
      </c>
      <c r="C17" s="2">
        <v>48.91</v>
      </c>
      <c r="D17" s="2">
        <v>-125.04</v>
      </c>
      <c r="G17">
        <v>30</v>
      </c>
      <c r="H17">
        <v>7</v>
      </c>
      <c r="I17">
        <f t="shared" si="0"/>
        <v>37</v>
      </c>
      <c r="J17" t="s">
        <v>61</v>
      </c>
    </row>
    <row r="18" spans="1:10" x14ac:dyDescent="0.2">
      <c r="A18" s="2" t="s">
        <v>49</v>
      </c>
      <c r="B18" s="2" t="s">
        <v>50</v>
      </c>
      <c r="C18" s="2">
        <v>48.83</v>
      </c>
      <c r="D18" s="2">
        <v>-125.2</v>
      </c>
      <c r="E18">
        <v>2</v>
      </c>
      <c r="F18">
        <v>1</v>
      </c>
      <c r="G18">
        <v>36</v>
      </c>
      <c r="H18">
        <v>9</v>
      </c>
      <c r="I18">
        <f t="shared" si="0"/>
        <v>48</v>
      </c>
      <c r="J18" t="s">
        <v>63</v>
      </c>
    </row>
  </sheetData>
  <sortState xmlns:xlrd2="http://schemas.microsoft.com/office/spreadsheetml/2017/richdata2" ref="A2:J28">
    <sortCondition ref="I2:I2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activeCell="I11" sqref="I11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>
        <v>2021</v>
      </c>
      <c r="F1">
        <v>2022</v>
      </c>
      <c r="G1">
        <v>2023</v>
      </c>
      <c r="H1">
        <v>2024</v>
      </c>
      <c r="I1" t="s">
        <v>4</v>
      </c>
      <c r="J1" t="s">
        <v>60</v>
      </c>
    </row>
    <row r="2" spans="1:10" x14ac:dyDescent="0.2">
      <c r="A2" t="s">
        <v>34</v>
      </c>
      <c r="B2" s="2" t="s">
        <v>35</v>
      </c>
      <c r="C2" s="2">
        <v>48.91</v>
      </c>
      <c r="D2" s="2">
        <v>-125.04</v>
      </c>
      <c r="G2">
        <v>30</v>
      </c>
      <c r="H2">
        <v>7</v>
      </c>
      <c r="I2">
        <f t="shared" ref="I2:I8" si="0">SUM(E2:H2)</f>
        <v>37</v>
      </c>
      <c r="J2" t="s">
        <v>61</v>
      </c>
    </row>
    <row r="3" spans="1:10" x14ac:dyDescent="0.2">
      <c r="A3" s="2" t="s">
        <v>42</v>
      </c>
      <c r="B3" s="2" t="s">
        <v>43</v>
      </c>
      <c r="C3" s="2">
        <v>48.88</v>
      </c>
      <c r="D3" s="2">
        <v>-125.31</v>
      </c>
      <c r="E3">
        <v>1</v>
      </c>
      <c r="F3">
        <v>0</v>
      </c>
      <c r="H3">
        <v>4</v>
      </c>
      <c r="I3">
        <f t="shared" si="0"/>
        <v>5</v>
      </c>
      <c r="J3" t="s">
        <v>61</v>
      </c>
    </row>
    <row r="4" spans="1:10" x14ac:dyDescent="0.2">
      <c r="A4" s="2" t="s">
        <v>16</v>
      </c>
      <c r="B4" s="2" t="s">
        <v>44</v>
      </c>
      <c r="C4" s="2">
        <v>48.87</v>
      </c>
      <c r="D4" s="2">
        <v>-125.16</v>
      </c>
      <c r="E4">
        <v>0</v>
      </c>
      <c r="F4">
        <v>0</v>
      </c>
      <c r="G4">
        <v>21</v>
      </c>
      <c r="H4">
        <v>3</v>
      </c>
      <c r="I4">
        <f t="shared" si="0"/>
        <v>24</v>
      </c>
      <c r="J4" t="s">
        <v>62</v>
      </c>
    </row>
    <row r="5" spans="1:10" x14ac:dyDescent="0.2">
      <c r="A5" s="2" t="s">
        <v>11</v>
      </c>
      <c r="B5" s="2" t="s">
        <v>12</v>
      </c>
      <c r="C5" s="2">
        <v>48.85</v>
      </c>
      <c r="D5" s="2">
        <v>-125.12</v>
      </c>
      <c r="E5">
        <v>0</v>
      </c>
      <c r="F5">
        <v>0</v>
      </c>
      <c r="G5">
        <v>0</v>
      </c>
      <c r="H5">
        <v>0</v>
      </c>
      <c r="I5">
        <f t="shared" si="0"/>
        <v>0</v>
      </c>
      <c r="J5" t="s">
        <v>64</v>
      </c>
    </row>
    <row r="6" spans="1:10" x14ac:dyDescent="0.2">
      <c r="A6" s="2" t="s">
        <v>36</v>
      </c>
      <c r="B6" s="2" t="s">
        <v>37</v>
      </c>
      <c r="C6" s="2">
        <v>48.82</v>
      </c>
      <c r="D6" s="2">
        <v>-125.18</v>
      </c>
      <c r="E6">
        <v>0</v>
      </c>
      <c r="G6">
        <v>0</v>
      </c>
      <c r="H6">
        <v>0</v>
      </c>
      <c r="I6">
        <f t="shared" si="0"/>
        <v>0</v>
      </c>
      <c r="J6" t="s">
        <v>64</v>
      </c>
    </row>
    <row r="7" spans="1:10" x14ac:dyDescent="0.2">
      <c r="A7" s="2" t="s">
        <v>55</v>
      </c>
      <c r="B7" s="2" t="s">
        <v>56</v>
      </c>
      <c r="C7" s="2">
        <v>48.865482329999999</v>
      </c>
      <c r="D7" s="2">
        <v>-125.3614807</v>
      </c>
      <c r="E7">
        <v>0</v>
      </c>
      <c r="F7">
        <v>0</v>
      </c>
      <c r="H7">
        <v>1</v>
      </c>
      <c r="I7">
        <f t="shared" si="0"/>
        <v>1</v>
      </c>
      <c r="J7" t="s">
        <v>64</v>
      </c>
    </row>
    <row r="8" spans="1:10" x14ac:dyDescent="0.2">
      <c r="A8" s="2" t="s">
        <v>16</v>
      </c>
      <c r="B8" s="2" t="s">
        <v>17</v>
      </c>
      <c r="C8" s="2">
        <v>48.83</v>
      </c>
      <c r="D8" s="2">
        <v>-125.2</v>
      </c>
      <c r="E8">
        <v>9</v>
      </c>
      <c r="F8">
        <v>2</v>
      </c>
      <c r="G8">
        <v>18</v>
      </c>
      <c r="H8">
        <v>2</v>
      </c>
      <c r="I8">
        <f t="shared" si="0"/>
        <v>31</v>
      </c>
      <c r="J8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tabSelected="1" workbookViewId="0">
      <selection activeCell="A13" sqref="A13:XFD22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>
        <v>2021</v>
      </c>
      <c r="F1">
        <v>2022</v>
      </c>
      <c r="G1">
        <v>2023</v>
      </c>
      <c r="H1">
        <v>2024</v>
      </c>
      <c r="I1" t="s">
        <v>4</v>
      </c>
      <c r="J1" t="s">
        <v>60</v>
      </c>
      <c r="K1" t="s">
        <v>65</v>
      </c>
    </row>
    <row r="2" spans="1:11" x14ac:dyDescent="0.2">
      <c r="A2" s="2" t="s">
        <v>7</v>
      </c>
      <c r="B2" s="3" t="s">
        <v>8</v>
      </c>
      <c r="C2" s="2">
        <v>48.96</v>
      </c>
      <c r="D2" s="2">
        <v>-125.15</v>
      </c>
      <c r="E2">
        <v>0</v>
      </c>
      <c r="F2">
        <v>0</v>
      </c>
      <c r="G2">
        <v>0</v>
      </c>
      <c r="H2">
        <v>0</v>
      </c>
      <c r="I2">
        <f t="shared" ref="I2:I11" si="0">SUM(E2:H2)</f>
        <v>0</v>
      </c>
      <c r="J2" t="s">
        <v>13</v>
      </c>
      <c r="K2">
        <v>4</v>
      </c>
    </row>
    <row r="3" spans="1:11" x14ac:dyDescent="0.2">
      <c r="A3" s="2" t="s">
        <v>18</v>
      </c>
      <c r="B3" s="2" t="s">
        <v>19</v>
      </c>
      <c r="C3" s="2">
        <v>48.83</v>
      </c>
      <c r="D3" s="2">
        <v>-125.15</v>
      </c>
      <c r="E3">
        <v>0</v>
      </c>
      <c r="F3">
        <v>0</v>
      </c>
      <c r="G3">
        <v>0</v>
      </c>
      <c r="H3">
        <v>0</v>
      </c>
      <c r="I3">
        <f t="shared" si="0"/>
        <v>0</v>
      </c>
      <c r="J3" t="s">
        <v>13</v>
      </c>
      <c r="K3">
        <v>4</v>
      </c>
    </row>
    <row r="4" spans="1:11" x14ac:dyDescent="0.2">
      <c r="A4" s="2" t="s">
        <v>24</v>
      </c>
      <c r="B4" s="2" t="s">
        <v>25</v>
      </c>
      <c r="C4" s="2">
        <v>48.879081726074197</v>
      </c>
      <c r="D4" s="2">
        <v>-125.297401428222</v>
      </c>
      <c r="E4">
        <v>0</v>
      </c>
      <c r="F4">
        <v>0</v>
      </c>
      <c r="H4">
        <v>0</v>
      </c>
      <c r="I4">
        <f t="shared" si="0"/>
        <v>0</v>
      </c>
      <c r="J4" t="s">
        <v>13</v>
      </c>
      <c r="K4">
        <v>3</v>
      </c>
    </row>
    <row r="5" spans="1:11" x14ac:dyDescent="0.2">
      <c r="A5" s="2" t="s">
        <v>28</v>
      </c>
      <c r="B5" s="2" t="s">
        <v>29</v>
      </c>
      <c r="C5" s="2">
        <v>48.91</v>
      </c>
      <c r="D5" s="2">
        <v>-125.27</v>
      </c>
      <c r="E5">
        <v>0</v>
      </c>
      <c r="F5">
        <v>0</v>
      </c>
      <c r="H5">
        <v>0</v>
      </c>
      <c r="I5">
        <f t="shared" si="0"/>
        <v>0</v>
      </c>
      <c r="J5" t="s">
        <v>13</v>
      </c>
      <c r="K5">
        <v>3</v>
      </c>
    </row>
    <row r="6" spans="1:11" x14ac:dyDescent="0.2">
      <c r="A6" s="2" t="s">
        <v>30</v>
      </c>
      <c r="B6" s="2" t="s">
        <v>31</v>
      </c>
      <c r="C6" s="2">
        <v>48.890701293945298</v>
      </c>
      <c r="D6" s="2">
        <v>-125.300498962402</v>
      </c>
      <c r="E6">
        <v>0</v>
      </c>
      <c r="F6">
        <v>0</v>
      </c>
      <c r="H6">
        <v>0</v>
      </c>
      <c r="I6">
        <f t="shared" si="0"/>
        <v>0</v>
      </c>
      <c r="J6" t="s">
        <v>13</v>
      </c>
      <c r="K6">
        <v>3</v>
      </c>
    </row>
    <row r="7" spans="1:11" x14ac:dyDescent="0.2">
      <c r="A7" s="2" t="s">
        <v>32</v>
      </c>
      <c r="B7" s="2" t="s">
        <v>33</v>
      </c>
      <c r="C7" s="2">
        <v>48.838594999999998</v>
      </c>
      <c r="D7" s="2">
        <v>-125.135015</v>
      </c>
      <c r="G7">
        <v>0</v>
      </c>
      <c r="H7">
        <v>0</v>
      </c>
      <c r="I7">
        <f t="shared" si="0"/>
        <v>0</v>
      </c>
      <c r="J7" t="s">
        <v>13</v>
      </c>
      <c r="K7">
        <v>2</v>
      </c>
    </row>
    <row r="8" spans="1:11" x14ac:dyDescent="0.2">
      <c r="A8" s="2" t="s">
        <v>40</v>
      </c>
      <c r="B8" s="2" t="s">
        <v>41</v>
      </c>
      <c r="C8" s="2">
        <v>48.86</v>
      </c>
      <c r="D8" s="2">
        <v>-125.18</v>
      </c>
      <c r="E8">
        <v>0</v>
      </c>
      <c r="F8">
        <v>0</v>
      </c>
      <c r="G8">
        <v>0</v>
      </c>
      <c r="H8">
        <v>0</v>
      </c>
      <c r="I8">
        <f t="shared" si="0"/>
        <v>0</v>
      </c>
      <c r="J8" t="s">
        <v>13</v>
      </c>
      <c r="K8">
        <v>4</v>
      </c>
    </row>
    <row r="9" spans="1:11" ht="16" thickBot="1" x14ac:dyDescent="0.25">
      <c r="A9" s="2" t="s">
        <v>47</v>
      </c>
      <c r="B9" s="2" t="s">
        <v>48</v>
      </c>
      <c r="C9" s="2">
        <v>48.92</v>
      </c>
      <c r="D9" s="2">
        <v>-125.13</v>
      </c>
      <c r="G9">
        <v>0</v>
      </c>
      <c r="H9">
        <v>0</v>
      </c>
      <c r="I9">
        <f t="shared" si="0"/>
        <v>0</v>
      </c>
      <c r="J9" t="s">
        <v>13</v>
      </c>
      <c r="K9">
        <v>2</v>
      </c>
    </row>
    <row r="10" spans="1:11" ht="16" thickBot="1" x14ac:dyDescent="0.25">
      <c r="A10" s="2" t="s">
        <v>11</v>
      </c>
      <c r="B10" s="2" t="s">
        <v>12</v>
      </c>
      <c r="C10" s="4">
        <v>48.854267120000003</v>
      </c>
      <c r="D10" s="4">
        <v>-125.11703489999999</v>
      </c>
      <c r="E10">
        <v>0</v>
      </c>
      <c r="F10">
        <v>0</v>
      </c>
      <c r="G10">
        <v>0</v>
      </c>
      <c r="H10">
        <v>0</v>
      </c>
      <c r="I10">
        <f t="shared" si="0"/>
        <v>0</v>
      </c>
      <c r="J10" t="s">
        <v>64</v>
      </c>
      <c r="K10">
        <v>4</v>
      </c>
    </row>
    <row r="11" spans="1:11" x14ac:dyDescent="0.2">
      <c r="A11" s="2" t="s">
        <v>36</v>
      </c>
      <c r="B11" s="2" t="s">
        <v>37</v>
      </c>
      <c r="C11" s="2">
        <v>48.82</v>
      </c>
      <c r="D11" s="2">
        <v>-125.18</v>
      </c>
      <c r="E11">
        <v>0</v>
      </c>
      <c r="G11">
        <v>0</v>
      </c>
      <c r="H11">
        <v>0</v>
      </c>
      <c r="I11">
        <f t="shared" si="0"/>
        <v>0</v>
      </c>
      <c r="J11" t="s">
        <v>64</v>
      </c>
      <c r="K11">
        <v>3</v>
      </c>
    </row>
  </sheetData>
  <sortState xmlns:xlrd2="http://schemas.microsoft.com/office/spreadsheetml/2017/richdata2" ref="A2:J28">
    <sortCondition ref="I2:I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Pie chart</vt:lpstr>
      <vt:lpstr>Kelp presence</vt:lpstr>
      <vt:lpstr>Absent all years</vt:lpstr>
    </vt:vector>
  </TitlesOfParts>
  <Company>Memorial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vdegroot</dc:creator>
  <cp:lastModifiedBy>alec jones</cp:lastModifiedBy>
  <dcterms:created xsi:type="dcterms:W3CDTF">2024-10-07T23:17:15Z</dcterms:created>
  <dcterms:modified xsi:type="dcterms:W3CDTF">2025-09-15T06:24:30Z</dcterms:modified>
</cp:coreProperties>
</file>